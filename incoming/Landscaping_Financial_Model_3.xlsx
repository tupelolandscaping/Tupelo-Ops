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Model" sheetId="3" state="visible" r:id="rId5"/>
    <sheet name="Quarterly Summary" sheetId="4" state="visible" r:id="rId6"/>
    <sheet name="P&amp;L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<sst xmlns="http://schemas.openxmlformats.org/spreadsheetml/2006/main" count="184" uniqueCount="170">
  <si>
    <t xml:space="preserve">Landscaping Business — 1-Year Financial Model (Jul 2026 – Jun 2027)</t>
  </si>
  <si>
    <t xml:space="preserve">Stage 1 deliverable: the quantitative engine underpinning the strategic plan.</t>
  </si>
  <si>
    <t xml:space="preserve">HOW TO USE THIS MODEL</t>
  </si>
  <si>
    <t xml:space="preserve">• Change only the BLUE cells. Black cells are formulas that recompute automatically.</t>
  </si>
  <si>
    <t xml:space="preserve">• Key assumptions are highlighted YELLOW on the Assumptions tab — start there.</t>
  </si>
  <si>
    <t xml:space="preserve">• The Model tab builds revenue, profit and cash month-by-month from those assumptions.</t>
  </si>
  <si>
    <t xml:space="preserve">• The Quarterly Summary tab rolls the months into the four plan quarters.</t>
  </si>
  <si>
    <t xml:space="preserve">COLOR LEGEND</t>
  </si>
  <si>
    <t xml:space="preserve">Blue text = an input you can change.   Black text = a calculated formula.   Green text = a link from another tab.</t>
  </si>
  <si>
    <t xml:space="preserve">IMPORTANT — THESE ARE PLANNING ASSUMPTIONS, NOT ACTUALS</t>
  </si>
  <si>
    <t xml:space="preserve">Every figure here is a reasoned estimate from our nine-domain analysis, to be replaced with real Homeworks data as it accumulates. The model is built to be re-run, not to be right on the first pass. The peak anchor ($4,500), retention, and project/mowing split are the assumptions most worth revisiting first.</t>
  </si>
  <si>
    <t xml:space="preserve">KEY OUTPUTS AT A GLANCE (recompute if you change inputs)</t>
  </si>
  <si>
    <t xml:space="preserve">• Operating reserve ($4,000) is reached around September 2026.</t>
  </si>
  <si>
    <t xml:space="preserve">• January–February 2027 run near break-even — the thin winter trough, covered by the reserve.</t>
  </si>
  <si>
    <t xml:space="preserve">• 2027 peak months (May–Jun) reach roughly $9,000/month as the spring mowing cohort matures.</t>
  </si>
  <si>
    <t xml:space="preserve">• $20K/month remains a 2028+ horizon goal, not a target within this plan window.</t>
  </si>
  <si>
    <t xml:space="preserve">ASSUMPTIONS  (edit blue cells; yellow = highest-priority)</t>
  </si>
  <si>
    <t xml:space="preserve">REVENUE ANCHOR</t>
  </si>
  <si>
    <t xml:space="preserve">Peak-month revenue anchor (May/Jun)</t>
  </si>
  <si>
    <t xml:space="preserve">Validated: actual May 2026 = $4,908</t>
  </si>
  <si>
    <t xml:space="preserve">SERVICE MIX &amp; CONTRIBUTION MARGINS</t>
  </si>
  <si>
    <t xml:space="preserve">Baseline project share of revenue</t>
  </si>
  <si>
    <t xml:space="preserve">Data-derived from Jan-Jun 2026 actuals (was 80%)</t>
  </si>
  <si>
    <t xml:space="preserve">Baseline mowing share of revenue</t>
  </si>
  <si>
    <t xml:space="preserve">Mostly commercial maintenance; residential recurring ~5%</t>
  </si>
  <si>
    <t xml:space="preserve">Project contribution margin</t>
  </si>
  <si>
    <t xml:space="preserve">Before fixed overhead; Domain 2</t>
  </si>
  <si>
    <t xml:space="preserve">Existing mowing CM (@ $50/visit)</t>
  </si>
  <si>
    <t xml:space="preserve">New mowing CM (@ $60/visit)</t>
  </si>
  <si>
    <t xml:space="preserve">Higher price on same cost base</t>
  </si>
  <si>
    <t xml:space="preserve">Weekday-growth blended CM</t>
  </si>
  <si>
    <t xml:space="preserve">Mixed project+mowing weekday work</t>
  </si>
  <si>
    <t xml:space="preserve">Baseline blended CM (derived)</t>
  </si>
  <si>
    <t xml:space="preserve">Auto from shares + margins above</t>
  </si>
  <si>
    <t xml:space="preserve">PRICING</t>
  </si>
  <si>
    <t xml:space="preserve">Existing mowing $/visit</t>
  </si>
  <si>
    <t xml:space="preserve">Grandfathered current clients</t>
  </si>
  <si>
    <t xml:space="preserve">New mowing $/visit (Spring 2027)</t>
  </si>
  <si>
    <t xml:space="preserve">$60/hr basis on estimated time</t>
  </si>
  <si>
    <t xml:space="preserve">FIXED MONTHLY COSTS</t>
  </si>
  <si>
    <t xml:space="preserve">General liability insurance</t>
  </si>
  <si>
    <t xml:space="preserve">$438.75/yr incl. doubled first month</t>
  </si>
  <si>
    <t xml:space="preserve">Workers' compensation</t>
  </si>
  <si>
    <t xml:space="preserve">$544/yr</t>
  </si>
  <si>
    <t xml:space="preserve">Commercial auto</t>
  </si>
  <si>
    <t xml:space="preserve">$2,000 / 6 months</t>
  </si>
  <si>
    <t xml:space="preserve">Payroll provider (base + 11 staff)</t>
  </si>
  <si>
    <t xml:space="preserve">$49 + 11 x $6</t>
  </si>
  <si>
    <t xml:space="preserve">CRM — Homeworks Growth</t>
  </si>
  <si>
    <t xml:space="preserve">Upgraded plan</t>
  </si>
  <si>
    <t xml:space="preserve">Equipment maintenance allocation</t>
  </si>
  <si>
    <t xml:space="preserve">~$390/yr mid-tier residential</t>
  </si>
  <si>
    <t xml:space="preserve">TOTAL FIXED MONTHLY</t>
  </si>
  <si>
    <t xml:space="preserve">LABOR RATES (/hr)</t>
  </si>
  <si>
    <t xml:space="preserve">Crew member</t>
  </si>
  <si>
    <t xml:space="preserve">Crew lead</t>
  </si>
  <si>
    <t xml:space="preserve">CASH &amp; CAPITAL</t>
  </si>
  <si>
    <t xml:space="preserve">Starting cash (1 Jul 2026)</t>
  </si>
  <si>
    <t xml:space="preserve">Planning anchor; mid-Jun '26 actual ~$800 post-payroll - confirm at first July check-in</t>
  </si>
  <si>
    <t xml:space="preserve">Operating reserve target</t>
  </si>
  <si>
    <t xml:space="preserve">Hard floor; raw bank balance; patient debt not netted; precondition for scaling</t>
  </si>
  <si>
    <t xml:space="preserve">Truck-risk cushion</t>
  </si>
  <si>
    <t xml:space="preserve">Truck hedge (rounded to $2k); priority claim once $4k floor secured</t>
  </si>
  <si>
    <t xml:space="preserve">Transmission diagnostic (Jul)</t>
  </si>
  <si>
    <t xml:space="preserve">Done Jun 2026 (assessed; not worth repairing) - already incurred; no future outflow</t>
  </si>
  <si>
    <t xml:space="preserve">Electric blower + tarps (Sep)</t>
  </si>
  <si>
    <t xml:space="preserve">Phase 1; regulation-compliant</t>
  </si>
  <si>
    <t xml:space="preserve">Xavier equity payout (Mar)</t>
  </si>
  <si>
    <t xml:space="preserve">External/family obligation</t>
  </si>
  <si>
    <t xml:space="preserve">Truck debt (deferrable, to self)</t>
  </si>
  <si>
    <t xml:space="preserve">No interest; excluded from base cash line</t>
  </si>
  <si>
    <t xml:space="preserve">Cash buffer target (reserve + truck hedge)</t>
  </si>
  <si>
    <t xml:space="preserve">$6,000; raw bank balance; patient debt treated as equity</t>
  </si>
  <si>
    <t xml:space="preserve">DATA VALIDATION - Jan-Jun 2026 actuals (Homeworks)</t>
  </si>
  <si>
    <t xml:space="preserve">Total recorded revenue (Jan-Jun 2026)</t>
  </si>
  <si>
    <t xml:space="preserve">Reconciles across customer, service &amp; P&amp;L reports</t>
  </si>
  <si>
    <t xml:space="preserve">Peak month (May 2026)</t>
  </si>
  <si>
    <t xml:space="preserve">Confirms the $4,500 normalized anchor</t>
  </si>
  <si>
    <t xml:space="preserve">Recorded project share</t>
  </si>
  <si>
    <t xml:space="preserve">Was assumed 80%</t>
  </si>
  <si>
    <t xml:space="preserve">Recorded maintenance share</t>
  </si>
  <si>
    <t xml:space="preserve">Mostly the 2 commercial accounts</t>
  </si>
  <si>
    <t xml:space="preserve">Residential recurring mowing share</t>
  </si>
  <si>
    <t xml:space="preserve">Growth engine starts near zero</t>
  </si>
  <si>
    <t xml:space="preserve">Average project size</t>
  </si>
  <si>
    <t xml:space="preserve">Was assumed ~$550</t>
  </si>
  <si>
    <t xml:space="preserve">Top-3 client concentration</t>
  </si>
  <si>
    <t xml:space="preserve">CONCENTRATION RISK - add to risk register</t>
  </si>
  <si>
    <t xml:space="preserve">Top client (commercial)</t>
  </si>
  <si>
    <t xml:space="preserve">Women Life Freedom LLC</t>
  </si>
  <si>
    <t xml:space="preserve">Note: Homeworks adoption began ~Mar 2026, so history is short; expenses were never logged (P&amp;L shows revenue as profit). Treat these as the first real calibration points, not a full baseline.</t>
  </si>
  <si>
    <t xml:space="preserve">MONTHLY MODEL  (Jul 2026 – Jun 2027)</t>
  </si>
  <si>
    <t xml:space="preserve">($ per month)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</si>
  <si>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</si>
  <si>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</si>
  <si>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</si>
  <si>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</si>
  <si>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</si>
  <si>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</si>
  <si>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</si>
  <si>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</si>
  <si>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</si>
  <si>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</si>
  <si>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</si>
  <si>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</si>
  <si>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INPUTS</t>
  </si>
  <si>
    <t xml:space="preserve">Seasonal index (blended, 100 = peak)</t>
  </si>
  <si>
    <t xml:space="preserve">Weekday-growth revenue ($)</t>
  </si>
  <si>
    <t xml:space="preserve">New mowing clients added</t>
  </si>
  <si>
    <t xml:space="preserve">  Cumulative new mowing clients</t>
  </si>
  <si>
    <t xml:space="preserve">Visits per client this month</t>
  </si>
  <si>
    <t xml:space="preserve">REVENUE</t>
  </si>
  <si>
    <t xml:space="preserve">Baseline business</t>
  </si>
  <si>
    <t xml:space="preserve">Weekday-capacity growth</t>
  </si>
  <si>
    <t xml:space="preserve">New mowing cohort (Spring 2027)</t>
  </si>
  <si>
    <t xml:space="preserve">TOTAL REVENUE</t>
  </si>
  <si>
    <t xml:space="preserve">CONTRIBUTION MARGIN</t>
  </si>
  <si>
    <t xml:space="preserve">Baseline contribution</t>
  </si>
  <si>
    <t xml:space="preserve">Weekday contribution</t>
  </si>
  <si>
    <t xml:space="preserve">New mowing contribution</t>
  </si>
  <si>
    <t xml:space="preserve">TOTAL CONTRIBUTION</t>
  </si>
  <si>
    <t xml:space="preserve">PROFIT</t>
  </si>
  <si>
    <t xml:space="preserve">Less: fixed monthly costs</t>
  </si>
  <si>
    <t xml:space="preserve">NET PROFIT</t>
  </si>
  <si>
    <t xml:space="preserve">Net margin %</t>
  </si>
  <si>
    <t xml:space="preserve">CAPITAL &amp; CASH</t>
  </si>
  <si>
    <t xml:space="preserve">Capital outflows</t>
  </si>
  <si>
    <t xml:space="preserve">Net cash flow</t>
  </si>
  <si>
    <t xml:space="preserve">CASH ON HAND (end of month)</t>
  </si>
  <si>
    <t xml:space="preserve">Cash above reserve + cushion</t>
  </si>
  <si>
    <t xml:space="preserve">Note: Truck debt ($3,800, no interest, owed to owner) is deferrable and excluded from the base cash line; repay opportunistically from surplus once reserve, cushion and Xavier payout are satisfied.</t>
  </si>
  <si>
    <t xml:space="preserve">QUARTERLY SUMMARY</t>
  </si>
  <si>
    <t xml:space="preserve">Q3 2026
(Jul–Sep)</t>
  </si>
  <si>
    <t xml:space="preserve">Q4 2026
(Oct–Dec)</t>
  </si>
  <si>
    <t xml:space="preserve">Q1 2027
(Jan–Mar)</t>
  </si>
  <si>
    <t xml:space="preserve">Q2 2027
(Apr–Jun)</t>
  </si>
  <si>
    <t xml:space="preserve">Total revenue</t>
  </si>
  <si>
    <t xml:space="preserve">Net profit</t>
  </si>
  <si>
    <t xml:space="preserve">Avg. monthly net margin</t>
  </si>
  <si>
    <t xml:space="preserve">Cash on hand (quarter-end)</t>
  </si>
  <si>
    <t xml:space="preserve">KEY MILESTONES</t>
  </si>
  <si>
    <t xml:space="preserve">Q3 2026</t>
  </si>
  <si>
    <t xml:space="preserve">Reserve crosses $4,000 (~Sep); begin lead recruiting &amp; Homeworks activation; start lead capture.</t>
  </si>
  <si>
    <t xml:space="preserve">Q4 2026</t>
  </si>
  <si>
    <t xml:space="preserve">Electric blower for leaf season; recruit/train weekday lead; fall pre-sell push; build GBP/reviews/yard signs; registered-agent change.</t>
  </si>
  <si>
    <t xml:space="preserve">Q1 2027</t>
  </si>
  <si>
    <t xml:space="preserve">Owner relocates (Jan); spring acquisition campaign fires (Feb–Mar); Xavier payout (Mar); new mowing cohort begins onboarding.</t>
  </si>
  <si>
    <t xml:space="preserve">Q2 2027</t>
  </si>
  <si>
    <t xml:space="preserve">Spring cohort matures; weekday routes scale; owner returns (~mid-May) to lead peak; revenue approaches ~$9K/month.</t>
  </si>
  <si>
    <t xml:space="preserve">P&amp;L TRACKER — PLAN vs ACTUAL</t>
  </si>
  <si>
    <t xml:space="preserve">Enter ACTUALS in the blue rows each month; plan and variance update automatically.</t>
  </si>
  <si>
    <t xml:space="preserve">PLAN (from Model tab)</t>
  </si>
  <si>
    <t xml:space="preserve">Plan revenue</t>
  </si>
  <si>
    <t xml:space="preserve">Plan net profit</t>
  </si>
  <si>
    <t xml:space="preserve">ACTUAL — REVENUE  (enter below)</t>
  </si>
  <si>
    <t xml:space="preserve">Mowing revenue</t>
  </si>
  <si>
    <t xml:space="preserve">Project revenue</t>
  </si>
  <si>
    <t xml:space="preserve">Other revenue</t>
  </si>
  <si>
    <t xml:space="preserve">Total actual revenue</t>
  </si>
  <si>
    <t xml:space="preserve">ACTUAL — COSTS  (enter below)</t>
  </si>
  <si>
    <t xml:space="preserve">Labor</t>
  </si>
  <si>
    <t xml:space="preserve">Fuel</t>
  </si>
  <si>
    <t xml:space="preserve">Materials / equipment</t>
  </si>
  <si>
    <t xml:space="preserve">Total direct cost</t>
  </si>
  <si>
    <t xml:space="preserve">Fixed costs</t>
  </si>
  <si>
    <t xml:space="preserve">ACTUAL NET PROFIT</t>
  </si>
  <si>
    <t xml:space="preserve">VARIANCE  (actual − plan)</t>
  </si>
  <si>
    <t xml:space="preserve">Revenue variance</t>
  </si>
  <si>
    <t xml:space="preserve">Profit variance</t>
  </si>
  <si>
    <t xml:space="preserve">Tip: as real data lands, update the Assumptions tab (margins, anchor, mix) so the Model plan converges toward reality.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</si>
</sst>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3" t="s">
        <v>3</v>
      </c>
    </row>
    <row r="7" customFormat="false" ht="15" hidden="false" customHeight="true" outlineLevel="0" collapsed="false">
      <c r="B7" s="3" t="s">
        <v>4</v>
      </c>
    </row>
    <row r="8" customFormat="false" ht="15" hidden="false" customHeight="true" outlineLevel="0" collapsed="false">
      <c r="B8" s="3" t="s">
        <v>5</v>
      </c>
    </row>
    <row r="9" customFormat="false" ht="15" hidden="false" customHeight="true" outlineLevel="0" collapsed="false">
      <c r="B9" s="3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3" t="s">
        <v>8</v>
      </c>
    </row>
    <row r="14" customFormat="false" ht="15" hidden="false" customHeight="true" outlineLevel="0" collapsed="false">
      <c r="B14" s="5" t="s">
        <v>9</v>
      </c>
    </row>
    <row r="15" customFormat="false" ht="34.5" hidden="false" customHeight="true" outlineLevel="0" collapsed="false">
      <c r="B15" s="3" t="s">
        <v>10</v>
      </c>
    </row>
    <row r="17" customFormat="false" ht="15" hidden="false" customHeight="true" outlineLevel="0" collapsed="false">
      <c r="B17" s="4" t="s">
        <v>11</v>
      </c>
    </row>
    <row r="18" customFormat="false" ht="15" hidden="false" customHeight="true" outlineLevel="0" collapsed="false">
      <c r="B18" s="3" t="s">
        <v>12</v>
      </c>
    </row>
    <row r="19" customFormat="false" ht="15" hidden="false" customHeight="true" outlineLevel="0" collapsed="false">
      <c r="B19" s="3" t="s">
        <v>13</v>
      </c>
    </row>
    <row r="20" customFormat="false" ht="15" hidden="false" customHeight="true" outlineLevel="0" collapsed="false">
      <c r="B20" s="3" t="s">
        <v>14</v>
      </c>
    </row>
    <row r="21" customFormat="false" ht="15" hidden="false" customHeight="true" outlineLevel="0" collapsed="false">
      <c r="B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52"/>
  </cols>
  <sheetData>
    <row r="1" customFormat="false" ht="15.75" hidden="false" customHeight="true" outlineLevel="0" collapsed="false">
      <c r="A1" s="6" t="s">
        <v>16</v>
      </c>
    </row>
    <row r="3" customFormat="false" ht="15" hidden="false" customHeight="true" outlineLevel="0" collapsed="false">
      <c r="A3" s="7" t="s">
        <v>17</v>
      </c>
      <c r="B3" s="8"/>
      <c r="C3" s="8"/>
    </row>
    <row r="4" customFormat="false" ht="15" hidden="false" customHeight="true" outlineLevel="0" collapsed="false">
      <c r="A4" s="9" t="s">
        <v>18</v>
      </c>
      <c r="B4" s="10" t="n">
        <v>4500</v>
      </c>
      <c r="C4" s="11" t="s">
        <v>19</v>
      </c>
    </row>
    <row r="6" customFormat="false" ht="15" hidden="false" customHeight="true" outlineLevel="0" collapsed="false">
      <c r="A6" s="7" t="s">
        <v>20</v>
      </c>
      <c r="B6" s="8"/>
      <c r="C6" s="8"/>
    </row>
    <row r="7" customFormat="false" ht="15" hidden="false" customHeight="true" outlineLevel="0" collapsed="false">
      <c r="A7" s="9" t="s">
        <v>21</v>
      </c>
      <c r="B7" s="12" t="n">
        <v>0.58</v>
      </c>
      <c r="C7" s="11" t="s">
        <v>22</v>
      </c>
    </row>
    <row r="8" customFormat="false" ht="15" hidden="false" customHeight="true" outlineLevel="0" collapsed="false">
      <c r="A8" s="9" t="s">
        <v>23</v>
      </c>
      <c r="B8" s="12" t="n">
        <v>0.42</v>
      </c>
      <c r="C8" s="11" t="s">
        <v>24</v>
      </c>
    </row>
    <row r="9" customFormat="false" ht="15" hidden="false" customHeight="true" outlineLevel="0" collapsed="false">
      <c r="A9" s="9" t="s">
        <v>25</v>
      </c>
      <c r="B9" s="12" t="n">
        <v>0.35</v>
      </c>
      <c r="C9" s="11" t="s">
        <v>26</v>
      </c>
    </row>
    <row r="10" customFormat="false" ht="15" hidden="false" customHeight="true" outlineLevel="0" collapsed="false">
      <c r="A10" s="9" t="s">
        <v>27</v>
      </c>
      <c r="B10" s="12" t="n">
        <v>0.42</v>
      </c>
      <c r="C10" s="11" t="s">
        <v>26</v>
      </c>
    </row>
    <row r="11" customFormat="false" ht="15" hidden="false" customHeight="true" outlineLevel="0" collapsed="false">
      <c r="A11" s="9" t="s">
        <v>28</v>
      </c>
      <c r="B11" s="12" t="n">
        <v>0.52</v>
      </c>
      <c r="C11" s="11" t="s">
        <v>29</v>
      </c>
    </row>
    <row r="12" customFormat="false" ht="15" hidden="false" customHeight="true" outlineLevel="0" collapsed="false">
      <c r="A12" s="9" t="s">
        <v>30</v>
      </c>
      <c r="B12" s="12" t="n">
        <v>0.38</v>
      </c>
      <c r="C12" s="11" t="s">
        <v>31</v>
      </c>
    </row>
    <row r="13" customFormat="false" ht="15" hidden="false" customHeight="true" outlineLevel="0" collapsed="false">
      <c r="A13" s="13" t="s">
        <v>32</v>
      </c>
      <c r="B13" s="14" t="n">
        <f aca="false">B7*B9+B8*B10</f>
        <v>0.3794</v>
      </c>
      <c r="C13" s="11" t="s">
        <v>33</v>
      </c>
    </row>
    <row r="15" customFormat="false" ht="15" hidden="false" customHeight="true" outlineLevel="0" collapsed="false">
      <c r="A15" s="7" t="s">
        <v>34</v>
      </c>
      <c r="B15" s="8"/>
      <c r="C15" s="8"/>
    </row>
    <row r="16" customFormat="false" ht="15" hidden="false" customHeight="true" outlineLevel="0" collapsed="false">
      <c r="A16" s="9" t="s">
        <v>35</v>
      </c>
      <c r="B16" s="15" t="n">
        <v>50</v>
      </c>
      <c r="C16" s="11" t="s">
        <v>36</v>
      </c>
    </row>
    <row r="17" customFormat="false" ht="15" hidden="false" customHeight="true" outlineLevel="0" collapsed="false">
      <c r="A17" s="9" t="s">
        <v>37</v>
      </c>
      <c r="B17" s="10" t="n">
        <v>60</v>
      </c>
      <c r="C17" s="11" t="s">
        <v>38</v>
      </c>
    </row>
    <row r="19" customFormat="false" ht="15" hidden="false" customHeight="true" outlineLevel="0" collapsed="false">
      <c r="A19" s="7" t="s">
        <v>39</v>
      </c>
      <c r="B19" s="8"/>
      <c r="C19" s="8"/>
    </row>
    <row r="20" customFormat="false" ht="15" hidden="false" customHeight="true" outlineLevel="0" collapsed="false">
      <c r="A20" s="9" t="s">
        <v>40</v>
      </c>
      <c r="B20" s="15" t="n">
        <v>36.56</v>
      </c>
      <c r="C20" s="11" t="s">
        <v>41</v>
      </c>
    </row>
    <row r="21" customFormat="false" ht="15" hidden="false" customHeight="true" outlineLevel="0" collapsed="false">
      <c r="A21" s="9" t="s">
        <v>42</v>
      </c>
      <c r="B21" s="15" t="n">
        <v>45.33</v>
      </c>
      <c r="C21" s="11" t="s">
        <v>43</v>
      </c>
    </row>
    <row r="22" customFormat="false" ht="15" hidden="false" customHeight="true" outlineLevel="0" collapsed="false">
      <c r="A22" s="9" t="s">
        <v>44</v>
      </c>
      <c r="B22" s="15" t="n">
        <v>166.67</v>
      </c>
      <c r="C22" s="11" t="s">
        <v>45</v>
      </c>
    </row>
    <row r="23" customFormat="false" ht="15" hidden="false" customHeight="true" outlineLevel="0" collapsed="false">
      <c r="A23" s="9" t="s">
        <v>46</v>
      </c>
      <c r="B23" s="15" t="n">
        <v>115</v>
      </c>
      <c r="C23" s="11" t="s">
        <v>47</v>
      </c>
    </row>
    <row r="24" customFormat="false" ht="15" hidden="false" customHeight="true" outlineLevel="0" collapsed="false">
      <c r="A24" s="9" t="s">
        <v>48</v>
      </c>
      <c r="B24" s="15" t="n">
        <v>299</v>
      </c>
      <c r="C24" s="11" t="s">
        <v>49</v>
      </c>
    </row>
    <row r="25" customFormat="false" ht="15" hidden="false" customHeight="true" outlineLevel="0" collapsed="false">
      <c r="A25" s="9" t="s">
        <v>50</v>
      </c>
      <c r="B25" s="15" t="n">
        <v>32.5</v>
      </c>
      <c r="C25" s="11" t="s">
        <v>51</v>
      </c>
    </row>
    <row r="26" customFormat="false" ht="15" hidden="false" customHeight="true" outlineLevel="0" collapsed="false">
      <c r="A26" s="13" t="s">
        <v>52</v>
      </c>
      <c r="B26" s="16" t="n">
        <f aca="false">SUM(B20:B25)</f>
        <v>695.06</v>
      </c>
    </row>
    <row r="28" customFormat="false" ht="15" hidden="false" customHeight="true" outlineLevel="0" collapsed="false">
      <c r="A28" s="7" t="s">
        <v>53</v>
      </c>
      <c r="B28" s="8"/>
      <c r="C28" s="8"/>
    </row>
    <row r="29" customFormat="false" ht="15" hidden="false" customHeight="true" outlineLevel="0" collapsed="false">
      <c r="A29" s="9" t="s">
        <v>54</v>
      </c>
      <c r="B29" s="15" t="n">
        <v>20</v>
      </c>
    </row>
    <row r="30" customFormat="false" ht="15" hidden="false" customHeight="true" outlineLevel="0" collapsed="false">
      <c r="A30" s="9" t="s">
        <v>55</v>
      </c>
      <c r="B30" s="15" t="n">
        <v>25</v>
      </c>
    </row>
    <row r="32" customFormat="false" ht="15" hidden="false" customHeight="true" outlineLevel="0" collapsed="false">
      <c r="A32" s="7" t="s">
        <v>56</v>
      </c>
      <c r="B32" s="8"/>
      <c r="C32" s="8"/>
    </row>
    <row r="33" customFormat="false" ht="15" hidden="false" customHeight="true" outlineLevel="0" collapsed="false">
      <c r="A33" s="9" t="s">
        <v>57</v>
      </c>
      <c r="B33" s="15" t="n">
        <v>1500</v>
      </c>
      <c r="C33" s="11" t="s">
        <v>58</v>
      </c>
    </row>
    <row r="34" customFormat="false" ht="15" hidden="false" customHeight="true" outlineLevel="0" collapsed="false">
      <c r="A34" s="9" t="s">
        <v>59</v>
      </c>
      <c r="B34" s="10" t="n">
        <v>4000</v>
      </c>
      <c r="C34" s="11" t="s">
        <v>60</v>
      </c>
    </row>
    <row r="35" customFormat="false" ht="15" hidden="false" customHeight="true" outlineLevel="0" collapsed="false">
      <c r="A35" s="9" t="s">
        <v>61</v>
      </c>
      <c r="B35" s="15" t="n">
        <v>2000</v>
      </c>
      <c r="C35" s="11" t="s">
        <v>62</v>
      </c>
    </row>
    <row r="36" customFormat="false" ht="15" hidden="false" customHeight="true" outlineLevel="0" collapsed="false">
      <c r="A36" s="9" t="s">
        <v>63</v>
      </c>
      <c r="B36" s="15" t="n">
        <v>0</v>
      </c>
      <c r="C36" s="11" t="s">
        <v>64</v>
      </c>
    </row>
    <row r="37" customFormat="false" ht="15" hidden="false" customHeight="true" outlineLevel="0" collapsed="false">
      <c r="A37" s="9" t="s">
        <v>65</v>
      </c>
      <c r="B37" s="15" t="n">
        <v>400</v>
      </c>
      <c r="C37" s="11" t="s">
        <v>66</v>
      </c>
    </row>
    <row r="38" customFormat="false" ht="15" hidden="false" customHeight="true" outlineLevel="0" collapsed="false">
      <c r="A38" s="9" t="s">
        <v>67</v>
      </c>
      <c r="B38" s="15" t="n">
        <v>1500</v>
      </c>
      <c r="C38" s="11" t="s">
        <v>68</v>
      </c>
    </row>
    <row r="39" customFormat="false" ht="15" hidden="false" customHeight="true" outlineLevel="0" collapsed="false">
      <c r="A39" s="9" t="s">
        <v>69</v>
      </c>
      <c r="B39" s="15" t="n">
        <v>3800</v>
      </c>
      <c r="C39" s="11" t="s">
        <v>70</v>
      </c>
    </row>
    <row r="40" customFormat="false" ht="15" hidden="false" customHeight="true" outlineLevel="0" collapsed="false">
      <c r="A40" s="9" t="s">
        <v>71</v>
      </c>
      <c r="B40" s="17" t="n">
        <f aca="false">B34+B35</f>
        <v>6000</v>
      </c>
      <c r="C40" s="11" t="s">
        <v>72</v>
      </c>
    </row>
    <row r="42" customFormat="false" ht="15" hidden="false" customHeight="true" outlineLevel="0" collapsed="false">
      <c r="A42" s="7" t="s">
        <v>73</v>
      </c>
      <c r="B42" s="8"/>
      <c r="C42" s="8"/>
    </row>
    <row r="43" customFormat="false" ht="15" hidden="false" customHeight="true" outlineLevel="0" collapsed="false">
      <c r="A43" s="9" t="s">
        <v>74</v>
      </c>
      <c r="B43" s="15" t="n">
        <v>9562.71</v>
      </c>
      <c r="C43" s="11" t="s">
        <v>75</v>
      </c>
    </row>
    <row r="44" customFormat="false" ht="15" hidden="false" customHeight="true" outlineLevel="0" collapsed="false">
      <c r="A44" s="9" t="s">
        <v>76</v>
      </c>
      <c r="B44" s="15" t="n">
        <v>4908</v>
      </c>
      <c r="C44" s="11" t="s">
        <v>77</v>
      </c>
    </row>
    <row r="45" customFormat="false" ht="15" hidden="false" customHeight="true" outlineLevel="0" collapsed="false">
      <c r="A45" s="9" t="s">
        <v>78</v>
      </c>
      <c r="B45" s="12" t="n">
        <v>0.58</v>
      </c>
      <c r="C45" s="11" t="s">
        <v>79</v>
      </c>
    </row>
    <row r="46" customFormat="false" ht="15" hidden="false" customHeight="true" outlineLevel="0" collapsed="false">
      <c r="A46" s="9" t="s">
        <v>80</v>
      </c>
      <c r="B46" s="12" t="n">
        <v>0.42</v>
      </c>
      <c r="C46" s="11" t="s">
        <v>81</v>
      </c>
    </row>
    <row r="47" customFormat="false" ht="15" hidden="false" customHeight="true" outlineLevel="0" collapsed="false">
      <c r="A47" s="9" t="s">
        <v>82</v>
      </c>
      <c r="B47" s="18" t="n">
        <v>0.05</v>
      </c>
      <c r="C47" s="11" t="s">
        <v>83</v>
      </c>
    </row>
    <row r="48" customFormat="false" ht="15" hidden="false" customHeight="true" outlineLevel="0" collapsed="false">
      <c r="A48" s="9" t="s">
        <v>84</v>
      </c>
      <c r="B48" s="15" t="n">
        <v>505</v>
      </c>
      <c r="C48" s="11" t="s">
        <v>85</v>
      </c>
    </row>
    <row r="49" customFormat="false" ht="15" hidden="false" customHeight="true" outlineLevel="0" collapsed="false">
      <c r="A49" s="9" t="s">
        <v>86</v>
      </c>
      <c r="B49" s="18" t="n">
        <v>0.79</v>
      </c>
      <c r="C49" s="11" t="s">
        <v>87</v>
      </c>
    </row>
    <row r="50" customFormat="false" ht="15" hidden="false" customHeight="true" outlineLevel="0" collapsed="false">
      <c r="A50" s="9" t="s">
        <v>88</v>
      </c>
      <c r="B50" s="12" t="n">
        <v>0.42</v>
      </c>
      <c r="C50" s="11" t="s">
        <v>89</v>
      </c>
    </row>
    <row r="52" customFormat="false" ht="15" hidden="false" customHeight="true" outlineLevel="0" collapsed="false">
      <c r="A52" s="1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</cols>
  <sheetData>
    <row r="1" customFormat="false" ht="15.75" hidden="false" customHeight="true" outlineLevel="0" collapsed="false">
      <c r="A1" s="6" t="s">
        <v>91</v>
      </c>
    </row>
    <row r="3" customFormat="false" ht="15" hidden="false" customHeight="true" outlineLevel="0" collapsed="false">
      <c r="A3" s="19" t="s">
        <v>92</v>
      </c>
      <c r="B3" s="20" t="s">
        <v>93</v>
      </c>
      <c r="C3" s="20" t="s">
        <v>94</v>
      </c>
      <c r="D3" s="20" t="s">
        <v>95</v>
      </c>
      <c r="E3" s="20" t="s">
        <v>96</v>
      </c>
      <c r="F3" s="20" t="s">
        <v>97</v>
      </c>
      <c r="G3" s="20" t="s">
        <v>98</v>
      </c>
      <c r="H3" s="20" t="s">
        <v>99</v>
      </c>
      <c r="I3" s="20" t="s">
        <v>100</v>
      </c>
      <c r="J3" s="20" t="s">
        <v>101</v>
      </c>
      <c r="K3" s="20" t="s">
        <v>102</v>
      </c>
      <c r="L3" s="20" t="s">
        <v>103</v>
      </c>
      <c r="M3" s="20" t="s">
        <v>104</v>
      </c>
    </row>
    <row r="4" customFormat="false" ht="15" hidden="false" customHeight="true" outlineLevel="0" collapsed="false">
      <c r="A4" s="21" t="s">
        <v>105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customFormat="false" ht="15" hidden="false" customHeight="true" outlineLevel="0" collapsed="false">
      <c r="A5" s="9" t="s">
        <v>106</v>
      </c>
      <c r="B5" s="23" t="n">
        <v>92</v>
      </c>
      <c r="C5" s="23" t="n">
        <v>91</v>
      </c>
      <c r="D5" s="23" t="n">
        <v>99</v>
      </c>
      <c r="E5" s="23" t="n">
        <v>94</v>
      </c>
      <c r="F5" s="23" t="n">
        <v>73</v>
      </c>
      <c r="G5" s="23" t="n">
        <v>48</v>
      </c>
      <c r="H5" s="23" t="n">
        <v>23</v>
      </c>
      <c r="I5" s="23" t="n">
        <v>28</v>
      </c>
      <c r="J5" s="23" t="n">
        <v>59</v>
      </c>
      <c r="K5" s="23" t="n">
        <v>85</v>
      </c>
      <c r="L5" s="23" t="n">
        <v>100</v>
      </c>
      <c r="M5" s="23" t="n">
        <v>100</v>
      </c>
    </row>
    <row r="6" customFormat="false" ht="15" hidden="false" customHeight="true" outlineLevel="0" collapsed="false">
      <c r="A6" s="9" t="s">
        <v>107</v>
      </c>
      <c r="B6" s="15" t="n">
        <v>0</v>
      </c>
      <c r="C6" s="15" t="n">
        <v>500</v>
      </c>
      <c r="D6" s="15" t="n">
        <v>1000</v>
      </c>
      <c r="E6" s="15" t="n">
        <v>1200</v>
      </c>
      <c r="F6" s="15" t="n">
        <v>800</v>
      </c>
      <c r="G6" s="15" t="n">
        <v>400</v>
      </c>
      <c r="H6" s="15" t="n">
        <v>200</v>
      </c>
      <c r="I6" s="15" t="n">
        <v>400</v>
      </c>
      <c r="J6" s="15" t="n">
        <v>800</v>
      </c>
      <c r="K6" s="15" t="n">
        <v>1200</v>
      </c>
      <c r="L6" s="15" t="n">
        <v>1500</v>
      </c>
      <c r="M6" s="15" t="n">
        <v>1800</v>
      </c>
    </row>
    <row r="7" customFormat="false" ht="15" hidden="false" customHeight="true" outlineLevel="0" collapsed="false">
      <c r="A7" s="9" t="s">
        <v>108</v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2</v>
      </c>
      <c r="J7" s="23" t="n">
        <v>4</v>
      </c>
      <c r="K7" s="23" t="n">
        <v>4</v>
      </c>
      <c r="L7" s="23" t="n">
        <v>2</v>
      </c>
      <c r="M7" s="23" t="n">
        <v>0</v>
      </c>
    </row>
    <row r="8" customFormat="false" ht="15" hidden="false" customHeight="true" outlineLevel="0" collapsed="false">
      <c r="A8" s="9" t="s">
        <v>109</v>
      </c>
      <c r="B8" s="24" t="n">
        <f aca="false">B7</f>
        <v>0</v>
      </c>
      <c r="C8" s="24" t="n">
        <f aca="false">B8+C7</f>
        <v>0</v>
      </c>
      <c r="D8" s="24" t="n">
        <f aca="false">C8+D7</f>
        <v>0</v>
      </c>
      <c r="E8" s="24" t="n">
        <f aca="false">D8+E7</f>
        <v>0</v>
      </c>
      <c r="F8" s="24" t="n">
        <f aca="false">E8+F7</f>
        <v>0</v>
      </c>
      <c r="G8" s="24" t="n">
        <f aca="false">F8+G7</f>
        <v>0</v>
      </c>
      <c r="H8" s="24" t="n">
        <f aca="false">G8+H7</f>
        <v>0</v>
      </c>
      <c r="I8" s="24" t="n">
        <f aca="false">H8+I7</f>
        <v>2</v>
      </c>
      <c r="J8" s="24" t="n">
        <f aca="false">I8+J7</f>
        <v>6</v>
      </c>
      <c r="K8" s="24" t="n">
        <f aca="false">J8+K7</f>
        <v>10</v>
      </c>
      <c r="L8" s="24" t="n">
        <f aca="false">K8+L7</f>
        <v>12</v>
      </c>
      <c r="M8" s="24" t="n">
        <f aca="false">L8+M7</f>
        <v>12</v>
      </c>
    </row>
    <row r="9" customFormat="false" ht="15" hidden="false" customHeight="true" outlineLevel="0" collapsed="false">
      <c r="A9" s="9" t="s">
        <v>110</v>
      </c>
      <c r="B9" s="23" t="n">
        <v>4</v>
      </c>
      <c r="C9" s="23" t="n">
        <v>4</v>
      </c>
      <c r="D9" s="23" t="n">
        <v>4</v>
      </c>
      <c r="E9" s="23" t="n">
        <v>3</v>
      </c>
      <c r="F9" s="23" t="n">
        <v>2</v>
      </c>
      <c r="G9" s="23" t="n">
        <v>1</v>
      </c>
      <c r="H9" s="23" t="n">
        <v>0</v>
      </c>
      <c r="I9" s="23" t="n">
        <v>1</v>
      </c>
      <c r="J9" s="23" t="n">
        <v>2</v>
      </c>
      <c r="K9" s="23" t="n">
        <v>3</v>
      </c>
      <c r="L9" s="23" t="n">
        <v>4</v>
      </c>
      <c r="M9" s="23" t="n">
        <v>4</v>
      </c>
    </row>
    <row r="11" customFormat="false" ht="15" hidden="false" customHeight="true" outlineLevel="0" collapsed="false">
      <c r="A11" s="21" t="s">
        <v>111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customFormat="false" ht="15" hidden="false" customHeight="true" outlineLevel="0" collapsed="false">
      <c r="A12" s="9" t="s">
        <v>112</v>
      </c>
      <c r="B12" s="25" t="n">
        <f aca="false">Assumptions!$B$4*(B5/100)</f>
        <v>4140</v>
      </c>
      <c r="C12" s="25" t="n">
        <f aca="false">Assumptions!$B$4*(C5/100)</f>
        <v>4095</v>
      </c>
      <c r="D12" s="25" t="n">
        <f aca="false">Assumptions!$B$4*(D5/100)</f>
        <v>4455</v>
      </c>
      <c r="E12" s="25" t="n">
        <f aca="false">Assumptions!$B$4*(E5/100)</f>
        <v>4230</v>
      </c>
      <c r="F12" s="25" t="n">
        <f aca="false">Assumptions!$B$4*(F5/100)</f>
        <v>3285</v>
      </c>
      <c r="G12" s="25" t="n">
        <f aca="false">Assumptions!$B$4*(G5/100)</f>
        <v>2160</v>
      </c>
      <c r="H12" s="25" t="n">
        <f aca="false">Assumptions!$B$4*(H5/100)</f>
        <v>1035</v>
      </c>
      <c r="I12" s="25" t="n">
        <f aca="false">Assumptions!$B$4*(I5/100)</f>
        <v>1260</v>
      </c>
      <c r="J12" s="25" t="n">
        <f aca="false">Assumptions!$B$4*(J5/100)</f>
        <v>2655</v>
      </c>
      <c r="K12" s="25" t="n">
        <f aca="false">Assumptions!$B$4*(K5/100)</f>
        <v>3825</v>
      </c>
      <c r="L12" s="25" t="n">
        <f aca="false">Assumptions!$B$4*(L5/100)</f>
        <v>4500</v>
      </c>
      <c r="M12" s="25" t="n">
        <f aca="false">Assumptions!$B$4*(M5/100)</f>
        <v>4500</v>
      </c>
    </row>
    <row r="13" customFormat="false" ht="15" hidden="false" customHeight="true" outlineLevel="0" collapsed="false">
      <c r="A13" s="9" t="s">
        <v>113</v>
      </c>
      <c r="B13" s="25" t="n">
        <f aca="false">B6</f>
        <v>0</v>
      </c>
      <c r="C13" s="25" t="n">
        <f aca="false">C6</f>
        <v>500</v>
      </c>
      <c r="D13" s="25" t="n">
        <f aca="false">D6</f>
        <v>1000</v>
      </c>
      <c r="E13" s="25" t="n">
        <f aca="false">E6</f>
        <v>1200</v>
      </c>
      <c r="F13" s="25" t="n">
        <f aca="false">F6</f>
        <v>800</v>
      </c>
      <c r="G13" s="25" t="n">
        <f aca="false">G6</f>
        <v>400</v>
      </c>
      <c r="H13" s="25" t="n">
        <f aca="false">H6</f>
        <v>200</v>
      </c>
      <c r="I13" s="25" t="n">
        <f aca="false">I6</f>
        <v>400</v>
      </c>
      <c r="J13" s="25" t="n">
        <f aca="false">J6</f>
        <v>800</v>
      </c>
      <c r="K13" s="25" t="n">
        <f aca="false">K6</f>
        <v>1200</v>
      </c>
      <c r="L13" s="25" t="n">
        <f aca="false">L6</f>
        <v>1500</v>
      </c>
      <c r="M13" s="25" t="n">
        <f aca="false">M6</f>
        <v>1800</v>
      </c>
    </row>
    <row r="14" customFormat="false" ht="15" hidden="false" customHeight="true" outlineLevel="0" collapsed="false">
      <c r="A14" s="9" t="s">
        <v>114</v>
      </c>
      <c r="B14" s="25" t="n">
        <f aca="false">B8*B9*Assumptions!$B$17</f>
        <v>0</v>
      </c>
      <c r="C14" s="25" t="n">
        <f aca="false">C8*C9*Assumptions!$B$17</f>
        <v>0</v>
      </c>
      <c r="D14" s="25" t="n">
        <f aca="false">D8*D9*Assumptions!$B$17</f>
        <v>0</v>
      </c>
      <c r="E14" s="25" t="n">
        <f aca="false">E8*E9*Assumptions!$B$17</f>
        <v>0</v>
      </c>
      <c r="F14" s="25" t="n">
        <f aca="false">F8*F9*Assumptions!$B$17</f>
        <v>0</v>
      </c>
      <c r="G14" s="25" t="n">
        <f aca="false">G8*G9*Assumptions!$B$17</f>
        <v>0</v>
      </c>
      <c r="H14" s="25" t="n">
        <f aca="false">H8*H9*Assumptions!$B$17</f>
        <v>0</v>
      </c>
      <c r="I14" s="25" t="n">
        <f aca="false">I8*I9*Assumptions!$B$17</f>
        <v>120</v>
      </c>
      <c r="J14" s="25" t="n">
        <f aca="false">J8*J9*Assumptions!$B$17</f>
        <v>720</v>
      </c>
      <c r="K14" s="25" t="n">
        <f aca="false">K8*K9*Assumptions!$B$17</f>
        <v>1800</v>
      </c>
      <c r="L14" s="25" t="n">
        <f aca="false">L8*L9*Assumptions!$B$17</f>
        <v>2880</v>
      </c>
      <c r="M14" s="25" t="n">
        <f aca="false">M8*M9*Assumptions!$B$17</f>
        <v>2880</v>
      </c>
    </row>
    <row r="15" customFormat="false" ht="15" hidden="false" customHeight="true" outlineLevel="0" collapsed="false">
      <c r="A15" s="13" t="s">
        <v>115</v>
      </c>
      <c r="B15" s="16" t="n">
        <f aca="false">SUM(B12:B14)</f>
        <v>4140</v>
      </c>
      <c r="C15" s="16" t="n">
        <f aca="false">SUM(C12:C14)</f>
        <v>4595</v>
      </c>
      <c r="D15" s="16" t="n">
        <f aca="false">SUM(D12:D14)</f>
        <v>5455</v>
      </c>
      <c r="E15" s="16" t="n">
        <f aca="false">SUM(E12:E14)</f>
        <v>5430</v>
      </c>
      <c r="F15" s="16" t="n">
        <f aca="false">SUM(F12:F14)</f>
        <v>4085</v>
      </c>
      <c r="G15" s="16" t="n">
        <f aca="false">SUM(G12:G14)</f>
        <v>2560</v>
      </c>
      <c r="H15" s="16" t="n">
        <f aca="false">SUM(H12:H14)</f>
        <v>1235</v>
      </c>
      <c r="I15" s="16" t="n">
        <f aca="false">SUM(I12:I14)</f>
        <v>1780</v>
      </c>
      <c r="J15" s="16" t="n">
        <f aca="false">SUM(J12:J14)</f>
        <v>4175</v>
      </c>
      <c r="K15" s="16" t="n">
        <f aca="false">SUM(K12:K14)</f>
        <v>6825</v>
      </c>
      <c r="L15" s="16" t="n">
        <f aca="false">SUM(L12:L14)</f>
        <v>8880</v>
      </c>
      <c r="M15" s="16" t="n">
        <f aca="false">SUM(M12:M14)</f>
        <v>9180</v>
      </c>
    </row>
    <row r="17" customFormat="false" ht="15" hidden="false" customHeight="true" outlineLevel="0" collapsed="false">
      <c r="A17" s="21" t="s">
        <v>116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customFormat="false" ht="15" hidden="false" customHeight="true" outlineLevel="0" collapsed="false">
      <c r="A18" s="9" t="s">
        <v>117</v>
      </c>
      <c r="B18" s="25" t="n">
        <f aca="false">B12*Assumptions!$B$13</f>
        <v>1570.716</v>
      </c>
      <c r="C18" s="25" t="n">
        <f aca="false">C12*Assumptions!$B$13</f>
        <v>1553.643</v>
      </c>
      <c r="D18" s="25" t="n">
        <f aca="false">D12*Assumptions!$B$13</f>
        <v>1690.227</v>
      </c>
      <c r="E18" s="25" t="n">
        <f aca="false">E12*Assumptions!$B$13</f>
        <v>1604.862</v>
      </c>
      <c r="F18" s="25" t="n">
        <f aca="false">F12*Assumptions!$B$13</f>
        <v>1246.329</v>
      </c>
      <c r="G18" s="25" t="n">
        <f aca="false">G12*Assumptions!$B$13</f>
        <v>819.504</v>
      </c>
      <c r="H18" s="25" t="n">
        <f aca="false">H12*Assumptions!$B$13</f>
        <v>392.679</v>
      </c>
      <c r="I18" s="25" t="n">
        <f aca="false">I12*Assumptions!$B$13</f>
        <v>478.044</v>
      </c>
      <c r="J18" s="25" t="n">
        <f aca="false">J12*Assumptions!$B$13</f>
        <v>1007.307</v>
      </c>
      <c r="K18" s="25" t="n">
        <f aca="false">K12*Assumptions!$B$13</f>
        <v>1451.205</v>
      </c>
      <c r="L18" s="25" t="n">
        <f aca="false">L12*Assumptions!$B$13</f>
        <v>1707.3</v>
      </c>
      <c r="M18" s="25" t="n">
        <f aca="false">M12*Assumptions!$B$13</f>
        <v>1707.3</v>
      </c>
    </row>
    <row r="19" customFormat="false" ht="15" hidden="false" customHeight="true" outlineLevel="0" collapsed="false">
      <c r="A19" s="9" t="s">
        <v>118</v>
      </c>
      <c r="B19" s="25" t="n">
        <f aca="false">B13*Assumptions!$B$12</f>
        <v>0</v>
      </c>
      <c r="C19" s="25" t="n">
        <f aca="false">C13*Assumptions!$B$12</f>
        <v>190</v>
      </c>
      <c r="D19" s="25" t="n">
        <f aca="false">D13*Assumptions!$B$12</f>
        <v>380</v>
      </c>
      <c r="E19" s="25" t="n">
        <f aca="false">E13*Assumptions!$B$12</f>
        <v>456</v>
      </c>
      <c r="F19" s="25" t="n">
        <f aca="false">F13*Assumptions!$B$12</f>
        <v>304</v>
      </c>
      <c r="G19" s="25" t="n">
        <f aca="false">G13*Assumptions!$B$12</f>
        <v>152</v>
      </c>
      <c r="H19" s="25" t="n">
        <f aca="false">H13*Assumptions!$B$12</f>
        <v>76</v>
      </c>
      <c r="I19" s="25" t="n">
        <f aca="false">I13*Assumptions!$B$12</f>
        <v>152</v>
      </c>
      <c r="J19" s="25" t="n">
        <f aca="false">J13*Assumptions!$B$12</f>
        <v>304</v>
      </c>
      <c r="K19" s="25" t="n">
        <f aca="false">K13*Assumptions!$B$12</f>
        <v>456</v>
      </c>
      <c r="L19" s="25" t="n">
        <f aca="false">L13*Assumptions!$B$12</f>
        <v>570</v>
      </c>
      <c r="M19" s="25" t="n">
        <f aca="false">M13*Assumptions!$B$12</f>
        <v>684</v>
      </c>
    </row>
    <row r="20" customFormat="false" ht="15" hidden="false" customHeight="true" outlineLevel="0" collapsed="false">
      <c r="A20" s="9" t="s">
        <v>119</v>
      </c>
      <c r="B20" s="25" t="n">
        <f aca="false">B14*Assumptions!$B$11</f>
        <v>0</v>
      </c>
      <c r="C20" s="25" t="n">
        <f aca="false">C14*Assumptions!$B$11</f>
        <v>0</v>
      </c>
      <c r="D20" s="25" t="n">
        <f aca="false">D14*Assumptions!$B$11</f>
        <v>0</v>
      </c>
      <c r="E20" s="25" t="n">
        <f aca="false">E14*Assumptions!$B$11</f>
        <v>0</v>
      </c>
      <c r="F20" s="25" t="n">
        <f aca="false">F14*Assumptions!$B$11</f>
        <v>0</v>
      </c>
      <c r="G20" s="25" t="n">
        <f aca="false">G14*Assumptions!$B$11</f>
        <v>0</v>
      </c>
      <c r="H20" s="25" t="n">
        <f aca="false">H14*Assumptions!$B$11</f>
        <v>0</v>
      </c>
      <c r="I20" s="25" t="n">
        <f aca="false">I14*Assumptions!$B$11</f>
        <v>62.4</v>
      </c>
      <c r="J20" s="25" t="n">
        <f aca="false">J14*Assumptions!$B$11</f>
        <v>374.4</v>
      </c>
      <c r="K20" s="25" t="n">
        <f aca="false">K14*Assumptions!$B$11</f>
        <v>936</v>
      </c>
      <c r="L20" s="25" t="n">
        <f aca="false">L14*Assumptions!$B$11</f>
        <v>1497.6</v>
      </c>
      <c r="M20" s="25" t="n">
        <f aca="false">M14*Assumptions!$B$11</f>
        <v>1497.6</v>
      </c>
    </row>
    <row r="21" customFormat="false" ht="15" hidden="false" customHeight="true" outlineLevel="0" collapsed="false">
      <c r="A21" s="13" t="s">
        <v>120</v>
      </c>
      <c r="B21" s="16" t="n">
        <f aca="false">SUM(B18:B20)</f>
        <v>1570.716</v>
      </c>
      <c r="C21" s="16" t="n">
        <f aca="false">SUM(C18:C20)</f>
        <v>1743.643</v>
      </c>
      <c r="D21" s="16" t="n">
        <f aca="false">SUM(D18:D20)</f>
        <v>2070.227</v>
      </c>
      <c r="E21" s="16" t="n">
        <f aca="false">SUM(E18:E20)</f>
        <v>2060.862</v>
      </c>
      <c r="F21" s="16" t="n">
        <f aca="false">SUM(F18:F20)</f>
        <v>1550.329</v>
      </c>
      <c r="G21" s="16" t="n">
        <f aca="false">SUM(G18:G20)</f>
        <v>971.504</v>
      </c>
      <c r="H21" s="16" t="n">
        <f aca="false">SUM(H18:H20)</f>
        <v>468.679</v>
      </c>
      <c r="I21" s="16" t="n">
        <f aca="false">SUM(I18:I20)</f>
        <v>692.444</v>
      </c>
      <c r="J21" s="16" t="n">
        <f aca="false">SUM(J18:J20)</f>
        <v>1685.707</v>
      </c>
      <c r="K21" s="16" t="n">
        <f aca="false">SUM(K18:K20)</f>
        <v>2843.205</v>
      </c>
      <c r="L21" s="16" t="n">
        <f aca="false">SUM(L18:L20)</f>
        <v>3774.9</v>
      </c>
      <c r="M21" s="16" t="n">
        <f aca="false">SUM(M18:M20)</f>
        <v>3888.9</v>
      </c>
    </row>
    <row r="23" customFormat="false" ht="15" hidden="false" customHeight="true" outlineLevel="0" collapsed="false">
      <c r="A23" s="21" t="s">
        <v>121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customFormat="false" ht="15" hidden="false" customHeight="true" outlineLevel="0" collapsed="false">
      <c r="A24" s="9" t="s">
        <v>122</v>
      </c>
      <c r="B24" s="25" t="n">
        <f aca="false">-Assumptions!$B$26</f>
        <v>-695.06</v>
      </c>
      <c r="C24" s="25" t="n">
        <f aca="false">-Assumptions!$B$26</f>
        <v>-695.06</v>
      </c>
      <c r="D24" s="25" t="n">
        <f aca="false">-Assumptions!$B$26</f>
        <v>-695.06</v>
      </c>
      <c r="E24" s="25" t="n">
        <f aca="false">-Assumptions!$B$26</f>
        <v>-695.06</v>
      </c>
      <c r="F24" s="25" t="n">
        <f aca="false">-Assumptions!$B$26</f>
        <v>-695.06</v>
      </c>
      <c r="G24" s="25" t="n">
        <f aca="false">-Assumptions!$B$26</f>
        <v>-695.06</v>
      </c>
      <c r="H24" s="25" t="n">
        <f aca="false">-Assumptions!$B$26</f>
        <v>-695.06</v>
      </c>
      <c r="I24" s="25" t="n">
        <f aca="false">-Assumptions!$B$26</f>
        <v>-695.06</v>
      </c>
      <c r="J24" s="25" t="n">
        <f aca="false">-Assumptions!$B$26</f>
        <v>-695.06</v>
      </c>
      <c r="K24" s="25" t="n">
        <f aca="false">-Assumptions!$B$26</f>
        <v>-695.06</v>
      </c>
      <c r="L24" s="25" t="n">
        <f aca="false">-Assumptions!$B$26</f>
        <v>-695.06</v>
      </c>
      <c r="M24" s="25" t="n">
        <f aca="false">-Assumptions!$B$26</f>
        <v>-695.06</v>
      </c>
    </row>
    <row r="25" customFormat="false" ht="15" hidden="false" customHeight="true" outlineLevel="0" collapsed="false">
      <c r="A25" s="13" t="s">
        <v>123</v>
      </c>
      <c r="B25" s="16" t="n">
        <f aca="false">B21+B24</f>
        <v>875.656</v>
      </c>
      <c r="C25" s="16" t="n">
        <f aca="false">C21+C24</f>
        <v>1048.583</v>
      </c>
      <c r="D25" s="16" t="n">
        <f aca="false">D21+D24</f>
        <v>1375.167</v>
      </c>
      <c r="E25" s="16" t="n">
        <f aca="false">E21+E24</f>
        <v>1365.802</v>
      </c>
      <c r="F25" s="16" t="n">
        <f aca="false">F21+F24</f>
        <v>855.269</v>
      </c>
      <c r="G25" s="16" t="n">
        <f aca="false">G21+G24</f>
        <v>276.444</v>
      </c>
      <c r="H25" s="16" t="n">
        <f aca="false">H21+H24</f>
        <v>-226.381</v>
      </c>
      <c r="I25" s="16" t="n">
        <f aca="false">I21+I24</f>
        <v>-2.61599999999987</v>
      </c>
      <c r="J25" s="16" t="n">
        <f aca="false">J21+J24</f>
        <v>990.647</v>
      </c>
      <c r="K25" s="16" t="n">
        <f aca="false">K21+K24</f>
        <v>2148.145</v>
      </c>
      <c r="L25" s="16" t="n">
        <f aca="false">L21+L24</f>
        <v>3079.84</v>
      </c>
      <c r="M25" s="16" t="n">
        <f aca="false">M21+M24</f>
        <v>3193.84</v>
      </c>
    </row>
    <row r="26" customFormat="false" ht="15" hidden="false" customHeight="true" outlineLevel="0" collapsed="false">
      <c r="A26" s="9" t="s">
        <v>124</v>
      </c>
      <c r="B26" s="26" t="n">
        <f aca="false">IF(B15=0,0,B25/B15)</f>
        <v>0.211511111111111</v>
      </c>
      <c r="C26" s="26" t="n">
        <f aca="false">IF(C15=0,0,C25/C15)</f>
        <v>0.228200870511425</v>
      </c>
      <c r="D26" s="26" t="n">
        <f aca="false">IF(D15=0,0,D25/D15)</f>
        <v>0.252092942254812</v>
      </c>
      <c r="E26" s="26" t="n">
        <f aca="false">IF(E15=0,0,E25/E15)</f>
        <v>0.251528913443831</v>
      </c>
      <c r="F26" s="26" t="n">
        <f aca="false">IF(F15=0,0,F25/F15)</f>
        <v>0.20936817625459</v>
      </c>
      <c r="G26" s="26" t="n">
        <f aca="false">IF(G15=0,0,G25/G15)</f>
        <v>0.1079859375</v>
      </c>
      <c r="H26" s="26" t="n">
        <f aca="false">IF(H15=0,0,H25/H15)</f>
        <v>-0.183304453441296</v>
      </c>
      <c r="I26" s="26" t="n">
        <f aca="false">IF(I15=0,0,I25/I15)</f>
        <v>-0.00146966292134824</v>
      </c>
      <c r="J26" s="26" t="n">
        <f aca="false">IF(J15=0,0,J25/J15)</f>
        <v>0.237280718562874</v>
      </c>
      <c r="K26" s="26" t="n">
        <f aca="false">IF(K15=0,0,K25/K15)</f>
        <v>0.31474652014652</v>
      </c>
      <c r="L26" s="26" t="n">
        <f aca="false">IF(L15=0,0,L25/L15)</f>
        <v>0.346828828828829</v>
      </c>
      <c r="M26" s="26" t="n">
        <f aca="false">IF(M15=0,0,M25/M15)</f>
        <v>0.347912854030501</v>
      </c>
    </row>
    <row r="28" customFormat="false" ht="15" hidden="false" customHeight="true" outlineLevel="0" collapsed="false">
      <c r="A28" s="21" t="s">
        <v>125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customFormat="false" ht="15" hidden="false" customHeight="true" outlineLevel="0" collapsed="false">
      <c r="A29" s="9" t="s">
        <v>126</v>
      </c>
      <c r="B29" s="25" t="n">
        <f aca="false">-Assumptions!$B$36</f>
        <v>-0</v>
      </c>
      <c r="C29" s="25" t="n">
        <v>0</v>
      </c>
      <c r="D29" s="25" t="n">
        <f aca="false">-Assumptions!$B$37</f>
        <v>-400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f aca="false">-Assumptions!$B$38</f>
        <v>-1500</v>
      </c>
      <c r="K29" s="25" t="n">
        <v>0</v>
      </c>
      <c r="L29" s="25" t="n">
        <v>0</v>
      </c>
      <c r="M29" s="25" t="n">
        <v>0</v>
      </c>
    </row>
    <row r="30" customFormat="false" ht="15" hidden="false" customHeight="true" outlineLevel="0" collapsed="false">
      <c r="A30" s="9" t="s">
        <v>127</v>
      </c>
      <c r="B30" s="25" t="n">
        <f aca="false">B25+B29</f>
        <v>875.656</v>
      </c>
      <c r="C30" s="25" t="n">
        <f aca="false">C25+C29</f>
        <v>1048.583</v>
      </c>
      <c r="D30" s="25" t="n">
        <f aca="false">D25+D29</f>
        <v>975.167</v>
      </c>
      <c r="E30" s="25" t="n">
        <f aca="false">E25+E29</f>
        <v>1365.802</v>
      </c>
      <c r="F30" s="25" t="n">
        <f aca="false">F25+F29</f>
        <v>855.269</v>
      </c>
      <c r="G30" s="25" t="n">
        <f aca="false">G25+G29</f>
        <v>276.444</v>
      </c>
      <c r="H30" s="25" t="n">
        <f aca="false">H25+H29</f>
        <v>-226.381</v>
      </c>
      <c r="I30" s="25" t="n">
        <f aca="false">I25+I29</f>
        <v>-2.61599999999987</v>
      </c>
      <c r="J30" s="25" t="n">
        <f aca="false">J25+J29</f>
        <v>-509.353</v>
      </c>
      <c r="K30" s="25" t="n">
        <f aca="false">K25+K29</f>
        <v>2148.145</v>
      </c>
      <c r="L30" s="25" t="n">
        <f aca="false">L25+L29</f>
        <v>3079.84</v>
      </c>
      <c r="M30" s="25" t="n">
        <f aca="false">M25+M29</f>
        <v>3193.84</v>
      </c>
    </row>
    <row r="31" customFormat="false" ht="15" hidden="false" customHeight="true" outlineLevel="0" collapsed="false">
      <c r="A31" s="13" t="s">
        <v>128</v>
      </c>
      <c r="B31" s="27" t="n">
        <f aca="false">Assumptions!$B$33+B30</f>
        <v>2375.656</v>
      </c>
      <c r="C31" s="27" t="n">
        <f aca="false">B31+C30</f>
        <v>3424.239</v>
      </c>
      <c r="D31" s="27" t="n">
        <f aca="false">C31+D30</f>
        <v>4399.406</v>
      </c>
      <c r="E31" s="27" t="n">
        <f aca="false">D31+E30</f>
        <v>5765.208</v>
      </c>
      <c r="F31" s="27" t="n">
        <f aca="false">E31+F30</f>
        <v>6620.477</v>
      </c>
      <c r="G31" s="27" t="n">
        <f aca="false">F31+G30</f>
        <v>6896.921</v>
      </c>
      <c r="H31" s="27" t="n">
        <f aca="false">G31+H30</f>
        <v>6670.54</v>
      </c>
      <c r="I31" s="27" t="n">
        <f aca="false">H31+I30</f>
        <v>6667.924</v>
      </c>
      <c r="J31" s="27" t="n">
        <f aca="false">I31+J30</f>
        <v>6158.571</v>
      </c>
      <c r="K31" s="27" t="n">
        <f aca="false">J31+K30</f>
        <v>8306.716</v>
      </c>
      <c r="L31" s="27" t="n">
        <f aca="false">K31+L30</f>
        <v>11386.556</v>
      </c>
      <c r="M31" s="27" t="n">
        <f aca="false">L31+M30</f>
        <v>14580.396</v>
      </c>
    </row>
    <row r="32" customFormat="false" ht="15" hidden="false" customHeight="true" outlineLevel="0" collapsed="false">
      <c r="A32" s="9" t="s">
        <v>129</v>
      </c>
      <c r="B32" s="28" t="n">
        <f aca="false">B31-Assumptions!$B$34-Assumptions!$B$35</f>
        <v>-3624.344</v>
      </c>
      <c r="C32" s="28" t="n">
        <f aca="false">C31-Assumptions!$B$34-Assumptions!$B$35</f>
        <v>-2575.761</v>
      </c>
      <c r="D32" s="28" t="n">
        <f aca="false">D31-Assumptions!$B$34-Assumptions!$B$35</f>
        <v>-1600.594</v>
      </c>
      <c r="E32" s="28" t="n">
        <f aca="false">E31-Assumptions!$B$34-Assumptions!$B$35</f>
        <v>-234.792000000001</v>
      </c>
      <c r="F32" s="28" t="n">
        <f aca="false">F31-Assumptions!$B$34-Assumptions!$B$35</f>
        <v>620.476999999999</v>
      </c>
      <c r="G32" s="28" t="n">
        <f aca="false">G31-Assumptions!$B$34-Assumptions!$B$35</f>
        <v>896.920999999999</v>
      </c>
      <c r="H32" s="28" t="n">
        <f aca="false">H31-Assumptions!$B$34-Assumptions!$B$35</f>
        <v>670.539999999998</v>
      </c>
      <c r="I32" s="28" t="n">
        <f aca="false">I31-Assumptions!$B$34-Assumptions!$B$35</f>
        <v>667.923999999998</v>
      </c>
      <c r="J32" s="28" t="n">
        <f aca="false">J31-Assumptions!$B$34-Assumptions!$B$35</f>
        <v>158.570999999998</v>
      </c>
      <c r="K32" s="28" t="n">
        <f aca="false">K31-Assumptions!$B$34-Assumptions!$B$35</f>
        <v>2306.716</v>
      </c>
      <c r="L32" s="28" t="n">
        <f aca="false">L31-Assumptions!$B$34-Assumptions!$B$35</f>
        <v>5386.556</v>
      </c>
      <c r="M32" s="28" t="n">
        <f aca="false">M31-Assumptions!$B$34-Assumptions!$B$35</f>
        <v>8580.396</v>
      </c>
    </row>
    <row r="34" customFormat="false" ht="15" hidden="false" customHeight="true" outlineLevel="0" collapsed="false">
      <c r="A34" s="1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6"/>
    <col collapsed="false" customWidth="true" hidden="false" outlineLevel="0" max="6" min="6" style="1" width="4"/>
  </cols>
  <sheetData>
    <row r="1" customFormat="false" ht="15.75" hidden="false" customHeight="true" outlineLevel="0" collapsed="false">
      <c r="A1" s="6" t="s">
        <v>131</v>
      </c>
    </row>
    <row r="3" customFormat="false" ht="23.25" hidden="false" customHeight="true" outlineLevel="0" collapsed="false">
      <c r="A3" s="8"/>
      <c r="B3" s="29" t="s">
        <v>132</v>
      </c>
      <c r="C3" s="29" t="s">
        <v>133</v>
      </c>
      <c r="D3" s="29" t="s">
        <v>134</v>
      </c>
      <c r="E3" s="29" t="s">
        <v>135</v>
      </c>
    </row>
    <row r="4" customFormat="false" ht="15" hidden="false" customHeight="true" outlineLevel="0" collapsed="false">
      <c r="A4" s="13" t="s">
        <v>136</v>
      </c>
      <c r="B4" s="30" t="n">
        <f aca="false">SUM(Model!B15:D15)</f>
        <v>14190</v>
      </c>
      <c r="C4" s="30" t="n">
        <f aca="false">SUM(Model!E15:G15)</f>
        <v>12075</v>
      </c>
      <c r="D4" s="30" t="n">
        <f aca="false">SUM(Model!H15:J15)</f>
        <v>7190</v>
      </c>
      <c r="E4" s="30" t="n">
        <f aca="false">SUM(Model!K15:M15)</f>
        <v>24885</v>
      </c>
    </row>
    <row r="5" customFormat="false" ht="15" hidden="false" customHeight="true" outlineLevel="0" collapsed="false">
      <c r="A5" s="13" t="s">
        <v>137</v>
      </c>
      <c r="B5" s="30" t="n">
        <f aca="false">SUM(Model!B25:D25)</f>
        <v>3299.406</v>
      </c>
      <c r="C5" s="30" t="n">
        <f aca="false">SUM(Model!E25:G25)</f>
        <v>2497.515</v>
      </c>
      <c r="D5" s="30" t="n">
        <f aca="false">SUM(Model!H25:J25)</f>
        <v>761.65</v>
      </c>
      <c r="E5" s="30" t="n">
        <f aca="false">SUM(Model!K25:M25)</f>
        <v>8421.825</v>
      </c>
    </row>
    <row r="6" customFormat="false" ht="15" hidden="false" customHeight="true" outlineLevel="0" collapsed="false">
      <c r="A6" s="9" t="s">
        <v>138</v>
      </c>
      <c r="B6" s="31" t="n">
        <f aca="false">AVERAGE(Model!B26:D26)</f>
        <v>0.23060164129245</v>
      </c>
      <c r="C6" s="31" t="n">
        <f aca="false">AVERAGE(Model!E26:G26)</f>
        <v>0.189627675732807</v>
      </c>
      <c r="D6" s="31" t="n">
        <f aca="false">AVERAGE(Model!H26:J26)</f>
        <v>0.0175022007334102</v>
      </c>
      <c r="E6" s="31" t="n">
        <f aca="false">AVERAGE(Model!K26:M26)</f>
        <v>0.336496067668617</v>
      </c>
    </row>
    <row r="7" customFormat="false" ht="15" hidden="false" customHeight="true" outlineLevel="0" collapsed="false">
      <c r="A7" s="32" t="s">
        <v>139</v>
      </c>
      <c r="B7" s="30" t="n">
        <f aca="false">Model!D31</f>
        <v>4399.406</v>
      </c>
      <c r="C7" s="30" t="n">
        <f aca="false">Model!G31</f>
        <v>6896.921</v>
      </c>
      <c r="D7" s="30" t="n">
        <f aca="false">Model!J31</f>
        <v>6158.571</v>
      </c>
      <c r="E7" s="30" t="n">
        <f aca="false">Model!M31</f>
        <v>14580.396</v>
      </c>
    </row>
    <row r="9" customFormat="false" ht="15" hidden="false" customHeight="true" outlineLevel="0" collapsed="false">
      <c r="A9" s="33" t="s">
        <v>140</v>
      </c>
    </row>
    <row r="10" customFormat="false" ht="42" hidden="false" customHeight="true" outlineLevel="0" collapsed="false">
      <c r="A10" s="13" t="s">
        <v>141</v>
      </c>
      <c r="B10" s="34" t="s">
        <v>142</v>
      </c>
      <c r="C10" s="34"/>
      <c r="D10" s="34"/>
      <c r="E10" s="34"/>
    </row>
    <row r="11" customFormat="false" ht="42" hidden="false" customHeight="true" outlineLevel="0" collapsed="false">
      <c r="A11" s="13" t="s">
        <v>143</v>
      </c>
      <c r="B11" s="34" t="s">
        <v>144</v>
      </c>
      <c r="C11" s="34"/>
      <c r="D11" s="34"/>
      <c r="E11" s="34"/>
    </row>
    <row r="12" customFormat="false" ht="42" hidden="false" customHeight="true" outlineLevel="0" collapsed="false">
      <c r="A12" s="13" t="s">
        <v>145</v>
      </c>
      <c r="B12" s="34" t="s">
        <v>146</v>
      </c>
      <c r="C12" s="34"/>
      <c r="D12" s="34"/>
      <c r="E12" s="34"/>
    </row>
    <row r="13" customFormat="false" ht="42" hidden="false" customHeight="true" outlineLevel="0" collapsed="false">
      <c r="A13" s="13" t="s">
        <v>147</v>
      </c>
      <c r="B13" s="34" t="s">
        <v>148</v>
      </c>
      <c r="C13" s="34"/>
      <c r="D13" s="34"/>
      <c r="E13" s="34"/>
    </row>
  </sheetData>
  <mergeCells count="4">
    <mergeCell ref="B10:E10"/>
    <mergeCell ref="B11:E11"/>
    <mergeCell ref="B12:E1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0"/>
  </cols>
  <sheetData>
    <row r="1" customFormat="false" ht="15.75" hidden="false" customHeight="true" outlineLevel="0" collapsed="false">
      <c r="A1" s="6" t="s">
        <v>149</v>
      </c>
    </row>
    <row r="2" customFormat="false" ht="15" hidden="false" customHeight="true" outlineLevel="0" collapsed="false">
      <c r="A2" s="11" t="s">
        <v>150</v>
      </c>
    </row>
    <row r="4" customFormat="false" ht="15" hidden="false" customHeight="true" outlineLevel="0" collapsed="false">
      <c r="A4" s="19" t="s">
        <v>92</v>
      </c>
      <c r="B4" s="20" t="s">
        <v>93</v>
      </c>
      <c r="C4" s="20" t="s">
        <v>94</v>
      </c>
      <c r="D4" s="20" t="s">
        <v>95</v>
      </c>
      <c r="E4" s="20" t="s">
        <v>96</v>
      </c>
      <c r="F4" s="20" t="s">
        <v>97</v>
      </c>
      <c r="G4" s="20" t="s">
        <v>98</v>
      </c>
      <c r="H4" s="20" t="s">
        <v>99</v>
      </c>
      <c r="I4" s="20" t="s">
        <v>100</v>
      </c>
      <c r="J4" s="20" t="s">
        <v>101</v>
      </c>
      <c r="K4" s="20" t="s">
        <v>102</v>
      </c>
      <c r="L4" s="20" t="s">
        <v>103</v>
      </c>
      <c r="M4" s="20" t="s">
        <v>104</v>
      </c>
    </row>
    <row r="5" customFormat="false" ht="15" hidden="false" customHeight="true" outlineLevel="0" collapsed="false">
      <c r="A5" s="21" t="s">
        <v>151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customFormat="false" ht="15" hidden="false" customHeight="true" outlineLevel="0" collapsed="false">
      <c r="A6" s="9" t="s">
        <v>152</v>
      </c>
      <c r="B6" s="35" t="n">
        <f aca="false">Model!B15</f>
        <v>4140</v>
      </c>
      <c r="C6" s="35" t="n">
        <f aca="false">Model!C15</f>
        <v>4595</v>
      </c>
      <c r="D6" s="35" t="n">
        <f aca="false">Model!D15</f>
        <v>5455</v>
      </c>
      <c r="E6" s="35" t="n">
        <f aca="false">Model!E15</f>
        <v>5430</v>
      </c>
      <c r="F6" s="35" t="n">
        <f aca="false">Model!F15</f>
        <v>4085</v>
      </c>
      <c r="G6" s="35" t="n">
        <f aca="false">Model!G15</f>
        <v>2560</v>
      </c>
      <c r="H6" s="35" t="n">
        <f aca="false">Model!H15</f>
        <v>1235</v>
      </c>
      <c r="I6" s="35" t="n">
        <f aca="false">Model!I15</f>
        <v>1780</v>
      </c>
      <c r="J6" s="35" t="n">
        <f aca="false">Model!J15</f>
        <v>4175</v>
      </c>
      <c r="K6" s="35" t="n">
        <f aca="false">Model!K15</f>
        <v>6825</v>
      </c>
      <c r="L6" s="35" t="n">
        <f aca="false">Model!L15</f>
        <v>8880</v>
      </c>
      <c r="M6" s="35" t="n">
        <f aca="false">Model!M15</f>
        <v>9180</v>
      </c>
    </row>
    <row r="7" customFormat="false" ht="15" hidden="false" customHeight="true" outlineLevel="0" collapsed="false">
      <c r="A7" s="9" t="s">
        <v>153</v>
      </c>
      <c r="B7" s="35" t="n">
        <f aca="false">Model!B25</f>
        <v>875.656</v>
      </c>
      <c r="C7" s="35" t="n">
        <f aca="false">Model!C25</f>
        <v>1048.583</v>
      </c>
      <c r="D7" s="35" t="n">
        <f aca="false">Model!D25</f>
        <v>1375.167</v>
      </c>
      <c r="E7" s="35" t="n">
        <f aca="false">Model!E25</f>
        <v>1365.802</v>
      </c>
      <c r="F7" s="35" t="n">
        <f aca="false">Model!F25</f>
        <v>855.269</v>
      </c>
      <c r="G7" s="35" t="n">
        <f aca="false">Model!G25</f>
        <v>276.444</v>
      </c>
      <c r="H7" s="35" t="n">
        <f aca="false">Model!H25</f>
        <v>-226.381</v>
      </c>
      <c r="I7" s="35" t="n">
        <f aca="false">Model!I25</f>
        <v>-2.61599999999987</v>
      </c>
      <c r="J7" s="35" t="n">
        <f aca="false">Model!J25</f>
        <v>990.647</v>
      </c>
      <c r="K7" s="35" t="n">
        <f aca="false">Model!K25</f>
        <v>2148.145</v>
      </c>
      <c r="L7" s="35" t="n">
        <f aca="false">Model!L25</f>
        <v>3079.84</v>
      </c>
      <c r="M7" s="35" t="n">
        <f aca="false">Model!M25</f>
        <v>3193.84</v>
      </c>
    </row>
    <row r="9" customFormat="false" ht="15" hidden="false" customHeight="true" outlineLevel="0" collapsed="false">
      <c r="A9" s="21" t="s">
        <v>154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customFormat="false" ht="15" hidden="false" customHeight="true" outlineLevel="0" collapsed="false">
      <c r="A10" s="9" t="s">
        <v>155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 customFormat="false" ht="15" hidden="false" customHeight="true" outlineLevel="0" collapsed="false">
      <c r="A11" s="9" t="s">
        <v>156</v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</row>
    <row r="12" customFormat="false" ht="15" hidden="false" customHeight="true" outlineLevel="0" collapsed="false">
      <c r="A12" s="9" t="s">
        <v>157</v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</row>
    <row r="13" customFormat="false" ht="15" hidden="false" customHeight="true" outlineLevel="0" collapsed="false">
      <c r="A13" s="13" t="s">
        <v>158</v>
      </c>
      <c r="B13" s="16" t="n">
        <f aca="false">SUM(B10:B12)</f>
        <v>0</v>
      </c>
      <c r="C13" s="16" t="n">
        <f aca="false">SUM(C10:C12)</f>
        <v>0</v>
      </c>
      <c r="D13" s="16" t="n">
        <f aca="false">SUM(D10:D12)</f>
        <v>0</v>
      </c>
      <c r="E13" s="16" t="n">
        <f aca="false">SUM(E10:E12)</f>
        <v>0</v>
      </c>
      <c r="F13" s="16" t="n">
        <f aca="false">SUM(F10:F12)</f>
        <v>0</v>
      </c>
      <c r="G13" s="16" t="n">
        <f aca="false">SUM(G10:G12)</f>
        <v>0</v>
      </c>
      <c r="H13" s="16" t="n">
        <f aca="false">SUM(H10:H12)</f>
        <v>0</v>
      </c>
      <c r="I13" s="16" t="n">
        <f aca="false">SUM(I10:I12)</f>
        <v>0</v>
      </c>
      <c r="J13" s="16" t="n">
        <f aca="false">SUM(J10:J12)</f>
        <v>0</v>
      </c>
      <c r="K13" s="16" t="n">
        <f aca="false">SUM(K10:K12)</f>
        <v>0</v>
      </c>
      <c r="L13" s="16" t="n">
        <f aca="false">SUM(L10:L12)</f>
        <v>0</v>
      </c>
      <c r="M13" s="16" t="n">
        <f aca="false">SUM(M10:M12)</f>
        <v>0</v>
      </c>
    </row>
    <row r="15" customFormat="false" ht="15" hidden="false" customHeight="true" outlineLevel="0" collapsed="false">
      <c r="A15" s="21" t="s">
        <v>159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customFormat="false" ht="15" hidden="false" customHeight="true" outlineLevel="0" collapsed="false">
      <c r="A16" s="9" t="s">
        <v>160</v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</row>
    <row r="17" customFormat="false" ht="15" hidden="false" customHeight="true" outlineLevel="0" collapsed="false">
      <c r="A17" s="9" t="s">
        <v>161</v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</row>
    <row r="18" customFormat="false" ht="15" hidden="false" customHeight="true" outlineLevel="0" collapsed="false">
      <c r="A18" s="9" t="s">
        <v>162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</row>
    <row r="19" customFormat="false" ht="15" hidden="false" customHeight="true" outlineLevel="0" collapsed="false">
      <c r="A19" s="13" t="s">
        <v>163</v>
      </c>
      <c r="B19" s="16" t="n">
        <f aca="false">SUM(B16:B18)</f>
        <v>0</v>
      </c>
      <c r="C19" s="16" t="n">
        <f aca="false">SUM(C16:C18)</f>
        <v>0</v>
      </c>
      <c r="D19" s="16" t="n">
        <f aca="false">SUM(D16:D18)</f>
        <v>0</v>
      </c>
      <c r="E19" s="16" t="n">
        <f aca="false">SUM(E16:E18)</f>
        <v>0</v>
      </c>
      <c r="F19" s="16" t="n">
        <f aca="false">SUM(F16:F18)</f>
        <v>0</v>
      </c>
      <c r="G19" s="16" t="n">
        <f aca="false">SUM(G16:G18)</f>
        <v>0</v>
      </c>
      <c r="H19" s="16" t="n">
        <f aca="false">SUM(H16:H18)</f>
        <v>0</v>
      </c>
      <c r="I19" s="16" t="n">
        <f aca="false">SUM(I16:I18)</f>
        <v>0</v>
      </c>
      <c r="J19" s="16" t="n">
        <f aca="false">SUM(J16:J18)</f>
        <v>0</v>
      </c>
      <c r="K19" s="16" t="n">
        <f aca="false">SUM(K16:K18)</f>
        <v>0</v>
      </c>
      <c r="L19" s="16" t="n">
        <f aca="false">SUM(L16:L18)</f>
        <v>0</v>
      </c>
      <c r="M19" s="16" t="n">
        <f aca="false">SUM(M16:M18)</f>
        <v>0</v>
      </c>
    </row>
    <row r="20" customFormat="false" ht="15" hidden="false" customHeight="true" outlineLevel="0" collapsed="false">
      <c r="A20" s="9" t="s">
        <v>164</v>
      </c>
      <c r="B20" s="35" t="n">
        <f aca="false">Assumptions!$B$26</f>
        <v>695.06</v>
      </c>
      <c r="C20" s="35" t="n">
        <f aca="false">Assumptions!$B$26</f>
        <v>695.06</v>
      </c>
      <c r="D20" s="35" t="n">
        <f aca="false">Assumptions!$B$26</f>
        <v>695.06</v>
      </c>
      <c r="E20" s="35" t="n">
        <f aca="false">Assumptions!$B$26</f>
        <v>695.06</v>
      </c>
      <c r="F20" s="35" t="n">
        <f aca="false">Assumptions!$B$26</f>
        <v>695.06</v>
      </c>
      <c r="G20" s="35" t="n">
        <f aca="false">Assumptions!$B$26</f>
        <v>695.06</v>
      </c>
      <c r="H20" s="35" t="n">
        <f aca="false">Assumptions!$B$26</f>
        <v>695.06</v>
      </c>
      <c r="I20" s="35" t="n">
        <f aca="false">Assumptions!$B$26</f>
        <v>695.06</v>
      </c>
      <c r="J20" s="35" t="n">
        <f aca="false">Assumptions!$B$26</f>
        <v>695.06</v>
      </c>
      <c r="K20" s="35" t="n">
        <f aca="false">Assumptions!$B$26</f>
        <v>695.06</v>
      </c>
      <c r="L20" s="35" t="n">
        <f aca="false">Assumptions!$B$26</f>
        <v>695.06</v>
      </c>
      <c r="M20" s="35" t="n">
        <f aca="false">Assumptions!$B$26</f>
        <v>695.06</v>
      </c>
    </row>
    <row r="21" customFormat="false" ht="15" hidden="false" customHeight="true" outlineLevel="0" collapsed="false">
      <c r="A21" s="13" t="s">
        <v>165</v>
      </c>
      <c r="B21" s="27" t="n">
        <f aca="false">B13-B19-B20</f>
        <v>-695.06</v>
      </c>
      <c r="C21" s="27" t="n">
        <f aca="false">C13-C19-C20</f>
        <v>-695.06</v>
      </c>
      <c r="D21" s="27" t="n">
        <f aca="false">D13-D19-D20</f>
        <v>-695.06</v>
      </c>
      <c r="E21" s="27" t="n">
        <f aca="false">E13-E19-E20</f>
        <v>-695.06</v>
      </c>
      <c r="F21" s="27" t="n">
        <f aca="false">F13-F19-F20</f>
        <v>-695.06</v>
      </c>
      <c r="G21" s="27" t="n">
        <f aca="false">G13-G19-G20</f>
        <v>-695.06</v>
      </c>
      <c r="H21" s="27" t="n">
        <f aca="false">H13-H19-H20</f>
        <v>-695.06</v>
      </c>
      <c r="I21" s="27" t="n">
        <f aca="false">I13-I19-I20</f>
        <v>-695.06</v>
      </c>
      <c r="J21" s="27" t="n">
        <f aca="false">J13-J19-J20</f>
        <v>-695.06</v>
      </c>
      <c r="K21" s="27" t="n">
        <f aca="false">K13-K19-K20</f>
        <v>-695.06</v>
      </c>
      <c r="L21" s="27" t="n">
        <f aca="false">L13-L19-L20</f>
        <v>-695.06</v>
      </c>
      <c r="M21" s="27" t="n">
        <f aca="false">M13-M19-M20</f>
        <v>-695.06</v>
      </c>
    </row>
    <row r="23" customFormat="false" ht="15" hidden="false" customHeight="true" outlineLevel="0" collapsed="false">
      <c r="A23" s="21" t="s">
        <v>166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customFormat="false" ht="15" hidden="false" customHeight="true" outlineLevel="0" collapsed="false">
      <c r="A24" s="9" t="s">
        <v>167</v>
      </c>
      <c r="B24" s="25" t="n">
        <f aca="false">B13-B6</f>
        <v>-4140</v>
      </c>
      <c r="C24" s="25" t="n">
        <f aca="false">C13-C6</f>
        <v>-4595</v>
      </c>
      <c r="D24" s="25" t="n">
        <f aca="false">D13-D6</f>
        <v>-5455</v>
      </c>
      <c r="E24" s="25" t="n">
        <f aca="false">E13-E6</f>
        <v>-5430</v>
      </c>
      <c r="F24" s="25" t="n">
        <f aca="false">F13-F6</f>
        <v>-4085</v>
      </c>
      <c r="G24" s="25" t="n">
        <f aca="false">G13-G6</f>
        <v>-2560</v>
      </c>
      <c r="H24" s="25" t="n">
        <f aca="false">H13-H6</f>
        <v>-1235</v>
      </c>
      <c r="I24" s="25" t="n">
        <f aca="false">I13-I6</f>
        <v>-1780</v>
      </c>
      <c r="J24" s="25" t="n">
        <f aca="false">J13-J6</f>
        <v>-4175</v>
      </c>
      <c r="K24" s="25" t="n">
        <f aca="false">K13-K6</f>
        <v>-6825</v>
      </c>
      <c r="L24" s="25" t="n">
        <f aca="false">L13-L6</f>
        <v>-8880</v>
      </c>
      <c r="M24" s="25" t="n">
        <f aca="false">M13-M6</f>
        <v>-9180</v>
      </c>
    </row>
    <row r="25" customFormat="false" ht="15" hidden="false" customHeight="true" outlineLevel="0" collapsed="false">
      <c r="A25" s="9" t="s">
        <v>168</v>
      </c>
      <c r="B25" s="25" t="n">
        <f aca="false">B21-B7</f>
        <v>-1570.716</v>
      </c>
      <c r="C25" s="25" t="n">
        <f aca="false">C21-C7</f>
        <v>-1743.643</v>
      </c>
      <c r="D25" s="25" t="n">
        <f aca="false">D21-D7</f>
        <v>-2070.227</v>
      </c>
      <c r="E25" s="25" t="n">
        <f aca="false">E21-E7</f>
        <v>-2060.862</v>
      </c>
      <c r="F25" s="25" t="n">
        <f aca="false">F21-F7</f>
        <v>-1550.329</v>
      </c>
      <c r="G25" s="25" t="n">
        <f aca="false">G21-G7</f>
        <v>-971.504</v>
      </c>
      <c r="H25" s="25" t="n">
        <f aca="false">H21-H7</f>
        <v>-468.679</v>
      </c>
      <c r="I25" s="25" t="n">
        <f aca="false">I21-I7</f>
        <v>-692.444</v>
      </c>
      <c r="J25" s="25" t="n">
        <f aca="false">J21-J7</f>
        <v>-1685.707</v>
      </c>
      <c r="K25" s="25" t="n">
        <f aca="false">K21-K7</f>
        <v>-2843.205</v>
      </c>
      <c r="L25" s="25" t="n">
        <f aca="false">L21-L7</f>
        <v>-3774.9</v>
      </c>
      <c r="M25" s="25" t="n">
        <f aca="false">M21-M7</f>
        <v>-3888.9</v>
      </c>
    </row>
    <row r="27" customFormat="false" ht="15" hidden="false" customHeight="true" outlineLevel="0" collapsed="false">
      <c r="A27" s="1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2026-06-11T06:32:30Z</dcterms:created>
  <dc:creator>openpyxl</dc:creator>
  <dc:description/>
  <dc:language>en-US</dc:language>
  <cp:lastModifiedBy/>
  <dcterms:modified xsi:type="dcterms:W3CDTF">2026-06-17T06:57:43Z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